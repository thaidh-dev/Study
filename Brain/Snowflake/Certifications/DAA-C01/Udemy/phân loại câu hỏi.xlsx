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Brain\Snowflake\Certifications\DAA-C01\Udemy\"/>
    </mc:Choice>
  </mc:AlternateContent>
  <bookViews>
    <workbookView xWindow="0" yWindow="0" windowWidth="28800" windowHeight="13590" activeTab="6"/>
  </bookViews>
  <sheets>
    <sheet name="7" sheetId="3" r:id="rId1"/>
    <sheet name="10" sheetId="4" r:id="rId2"/>
    <sheet name="49" sheetId="5" r:id="rId3"/>
    <sheet name="56" sheetId="6" r:id="rId4"/>
    <sheet name="57" sheetId="7" r:id="rId5"/>
    <sheet name="Exam 1" sheetId="2" r:id="rId6"/>
    <sheet name="13" sheetId="9" r:id="rId7"/>
    <sheet name="16" sheetId="1" r:id="rId8"/>
    <sheet name="Exam 2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8" l="1"/>
  <c r="G4" i="8"/>
  <c r="F4" i="8"/>
  <c r="D4" i="8"/>
  <c r="G3" i="8"/>
  <c r="F3" i="8"/>
  <c r="D3" i="8"/>
  <c r="G2" i="8"/>
  <c r="F2" i="8"/>
  <c r="D2" i="8"/>
  <c r="G1" i="8"/>
  <c r="F1" i="8"/>
  <c r="D1" i="8"/>
  <c r="D6" i="8" s="1"/>
  <c r="G6" i="8" l="1"/>
  <c r="F6" i="8"/>
  <c r="E6" i="2"/>
  <c r="D6" i="2"/>
  <c r="D2" i="2"/>
  <c r="D3" i="2"/>
  <c r="D4" i="2"/>
  <c r="D1" i="2"/>
  <c r="F2" i="2" l="1"/>
  <c r="F3" i="2"/>
  <c r="F4" i="2"/>
  <c r="F1" i="2"/>
  <c r="F6" i="2" l="1"/>
  <c r="G2" i="2"/>
  <c r="G3" i="2"/>
  <c r="G4" i="2"/>
  <c r="G1" i="2"/>
  <c r="G6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0" applyNumberFormat="1" applyFill="1" applyBorder="1">
      <alignment vertical="center"/>
    </xf>
    <xf numFmtId="0" fontId="0" fillId="0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20</xdr:col>
      <xdr:colOff>457200</xdr:colOff>
      <xdr:row>27</xdr:row>
      <xdr:rowOff>180880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3571875"/>
          <a:ext cx="10058400" cy="3038380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9</xdr:row>
      <xdr:rowOff>228601</xdr:rowOff>
    </xdr:from>
    <xdr:to>
      <xdr:col>20</xdr:col>
      <xdr:colOff>47625</xdr:colOff>
      <xdr:row>14</xdr:row>
      <xdr:rowOff>180976</xdr:rowOff>
    </xdr:to>
    <xdr:sp macro="" textlink="">
      <xdr:nvSpPr>
        <xdr:cNvPr id="3" name="Rounded Rectangular Callout 2"/>
        <xdr:cNvSpPr/>
      </xdr:nvSpPr>
      <xdr:spPr>
        <a:xfrm>
          <a:off x="7277100" y="2371726"/>
          <a:ext cx="6486525" cy="1143000"/>
        </a:xfrm>
        <a:prstGeom prst="wedgeRoundRectCallout">
          <a:avLst>
            <a:gd name="adj1" fmla="val -3030"/>
            <a:gd name="adj2" fmla="val 11666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/>
            <a:t>In the first row, we grouped the </a:t>
          </a:r>
          <a:r>
            <a:rPr lang="en-US" altLang="ja-JP" sz="1400" b="1"/>
            <a:t>Burgundy</a:t>
          </a:r>
          <a:r>
            <a:rPr lang="en-US" altLang="ja-JP" sz="1400"/>
            <a:t> region in </a:t>
          </a:r>
          <a:r>
            <a:rPr lang="en-US" altLang="ja-JP" sz="1400" b="1"/>
            <a:t>France</a:t>
          </a:r>
          <a:r>
            <a:rPr lang="en-US" altLang="ja-JP" sz="1400"/>
            <a:t> and calculated the total revenue as: </a:t>
          </a:r>
          <a:br>
            <a:rPr lang="en-US" altLang="ja-JP" sz="1400"/>
          </a:br>
          <a:r>
            <a:rPr lang="en-US" altLang="ja-JP" sz="1400" b="1"/>
            <a:t>SUM(SALES_PRICE × SALES_QUANTITY) = (10,000 × 50) + (50,000 × 1) = 550,000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142876</xdr:colOff>
      <xdr:row>9</xdr:row>
      <xdr:rowOff>228601</xdr:rowOff>
    </xdr:from>
    <xdr:to>
      <xdr:col>27</xdr:col>
      <xdr:colOff>523876</xdr:colOff>
      <xdr:row>14</xdr:row>
      <xdr:rowOff>180976</xdr:rowOff>
    </xdr:to>
    <xdr:sp macro="" textlink="">
      <xdr:nvSpPr>
        <xdr:cNvPr id="4" name="Rounded Rectangular Callout 3"/>
        <xdr:cNvSpPr/>
      </xdr:nvSpPr>
      <xdr:spPr>
        <a:xfrm>
          <a:off x="13858876" y="2371726"/>
          <a:ext cx="5181600" cy="1143000"/>
        </a:xfrm>
        <a:prstGeom prst="wedgeRoundRectCallout">
          <a:avLst>
            <a:gd name="adj1" fmla="val -50130"/>
            <a:gd name="adj2" fmla="val 14999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/>
            <a:t>In the second row, we grouped the </a:t>
          </a:r>
          <a:r>
            <a:rPr lang="en-US" altLang="ja-JP" sz="1400" b="1"/>
            <a:t>Limousin</a:t>
          </a:r>
          <a:r>
            <a:rPr lang="en-US" altLang="ja-JP" sz="1400"/>
            <a:t> region in </a:t>
          </a:r>
          <a:r>
            <a:rPr lang="en-US" altLang="ja-JP" sz="1400" b="1"/>
            <a:t>France</a:t>
          </a:r>
          <a:r>
            <a:rPr lang="en-US" altLang="ja-JP" sz="1400"/>
            <a:t> and calculated the total revenue as: </a:t>
          </a:r>
          <a:br>
            <a:rPr lang="en-US" altLang="ja-JP" sz="1400"/>
          </a:br>
          <a:r>
            <a:rPr lang="en-US" altLang="ja-JP" sz="1400" b="1"/>
            <a:t>SUM(SALES_PRICE × SALES_QUANTITY) = 50,000 × 10 = 500,000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76201</xdr:colOff>
      <xdr:row>18</xdr:row>
      <xdr:rowOff>104776</xdr:rowOff>
    </xdr:from>
    <xdr:to>
      <xdr:col>27</xdr:col>
      <xdr:colOff>295275</xdr:colOff>
      <xdr:row>22</xdr:row>
      <xdr:rowOff>133350</xdr:rowOff>
    </xdr:to>
    <xdr:sp macro="" textlink="">
      <xdr:nvSpPr>
        <xdr:cNvPr id="5" name="Rounded Rectangular Callout 4"/>
        <xdr:cNvSpPr/>
      </xdr:nvSpPr>
      <xdr:spPr>
        <a:xfrm>
          <a:off x="14478001" y="4391026"/>
          <a:ext cx="4333874" cy="981074"/>
        </a:xfrm>
        <a:prstGeom prst="wedgeRoundRectCallout">
          <a:avLst>
            <a:gd name="adj1" fmla="val -63317"/>
            <a:gd name="adj2" fmla="val 1624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/>
            <a:t>In the third row, we just grouped the </a:t>
          </a:r>
          <a:r>
            <a:rPr lang="en-US" altLang="ja-JP" sz="1400" b="1"/>
            <a:t>France</a:t>
          </a:r>
          <a:r>
            <a:rPr lang="en-US" altLang="ja-JP" sz="1400"/>
            <a:t> and calculated the total revenue as: </a:t>
          </a:r>
          <a:br>
            <a:rPr lang="en-US" altLang="ja-JP" sz="1400"/>
          </a:br>
          <a:r>
            <a:rPr lang="en-US" altLang="ja-JP" sz="1400" b="1"/>
            <a:t>SUM(SALES_PRICE × SALES_QUANTITY) = 1050,000</a:t>
          </a:r>
          <a:endParaRPr kumimoji="1" lang="ja-JP" altLang="en-US" sz="1100"/>
        </a:p>
      </xdr:txBody>
    </xdr:sp>
    <xdr:clientData/>
  </xdr:twoCellAnchor>
  <xdr:twoCellAnchor>
    <xdr:from>
      <xdr:col>15</xdr:col>
      <xdr:colOff>38100</xdr:colOff>
      <xdr:row>21</xdr:row>
      <xdr:rowOff>228600</xdr:rowOff>
    </xdr:from>
    <xdr:to>
      <xdr:col>20</xdr:col>
      <xdr:colOff>276225</xdr:colOff>
      <xdr:row>26</xdr:row>
      <xdr:rowOff>76200</xdr:rowOff>
    </xdr:to>
    <xdr:sp macro="" textlink="">
      <xdr:nvSpPr>
        <xdr:cNvPr id="6" name="Rectangle 5"/>
        <xdr:cNvSpPr/>
      </xdr:nvSpPr>
      <xdr:spPr>
        <a:xfrm>
          <a:off x="10325100" y="5229225"/>
          <a:ext cx="3667125" cy="1038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638176</xdr:colOff>
      <xdr:row>23</xdr:row>
      <xdr:rowOff>200026</xdr:rowOff>
    </xdr:from>
    <xdr:to>
      <xdr:col>24</xdr:col>
      <xdr:colOff>495300</xdr:colOff>
      <xdr:row>25</xdr:row>
      <xdr:rowOff>180975</xdr:rowOff>
    </xdr:to>
    <xdr:sp macro="" textlink="">
      <xdr:nvSpPr>
        <xdr:cNvPr id="7" name="Rounded Rectangular Callout 6"/>
        <xdr:cNvSpPr/>
      </xdr:nvSpPr>
      <xdr:spPr>
        <a:xfrm>
          <a:off x="14354176" y="5676901"/>
          <a:ext cx="2600324" cy="457199"/>
        </a:xfrm>
        <a:prstGeom prst="wedgeRoundRectCallout">
          <a:avLst>
            <a:gd name="adj1" fmla="val -58921"/>
            <a:gd name="adj2" fmla="val -1916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altLang="ja-JP" sz="1400"/>
            <a:t>We</a:t>
          </a:r>
          <a:r>
            <a:rPr kumimoji="0" lang="en-US" altLang="ja-JP" sz="1400" baseline="0"/>
            <a:t> do the same thing with </a:t>
          </a:r>
          <a:r>
            <a:rPr kumimoji="0" lang="en-US" altLang="ja-JP" sz="1400" b="1" baseline="0"/>
            <a:t>Italy</a:t>
          </a:r>
          <a:endParaRPr kumimoji="1" lang="ja-JP" altLang="en-US" sz="1100" b="1"/>
        </a:p>
      </xdr:txBody>
    </xdr:sp>
    <xdr:clientData/>
  </xdr:twoCellAnchor>
  <xdr:twoCellAnchor>
    <xdr:from>
      <xdr:col>14</xdr:col>
      <xdr:colOff>276226</xdr:colOff>
      <xdr:row>28</xdr:row>
      <xdr:rowOff>161926</xdr:rowOff>
    </xdr:from>
    <xdr:to>
      <xdr:col>20</xdr:col>
      <xdr:colOff>495300</xdr:colOff>
      <xdr:row>32</xdr:row>
      <xdr:rowOff>190500</xdr:rowOff>
    </xdr:to>
    <xdr:sp macro="" textlink="">
      <xdr:nvSpPr>
        <xdr:cNvPr id="8" name="Rounded Rectangular Callout 7"/>
        <xdr:cNvSpPr/>
      </xdr:nvSpPr>
      <xdr:spPr>
        <a:xfrm>
          <a:off x="9877426" y="6829426"/>
          <a:ext cx="4333874" cy="981074"/>
        </a:xfrm>
        <a:prstGeom prst="wedgeRoundRectCallout">
          <a:avLst>
            <a:gd name="adj1" fmla="val -23537"/>
            <a:gd name="adj2" fmla="val -7404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400"/>
            <a:t>In the last row, we did not group any data; instead, we simply calculated the total revenue as:</a:t>
          </a:r>
          <a:br>
            <a:rPr lang="en-US" altLang="ja-JP" sz="1400"/>
          </a:br>
          <a:r>
            <a:rPr lang="en-US" altLang="ja-JP" sz="1400" b="1"/>
            <a:t>SUM(SALES_PRICE × SALES_QUANTITY) = 4050,000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369543</xdr:colOff>
      <xdr:row>23</xdr:row>
      <xdr:rowOff>47024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714375"/>
          <a:ext cx="15457143" cy="4809524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5</xdr:row>
      <xdr:rowOff>95250</xdr:rowOff>
    </xdr:from>
    <xdr:to>
      <xdr:col>8</xdr:col>
      <xdr:colOff>38100</xdr:colOff>
      <xdr:row>7</xdr:row>
      <xdr:rowOff>76199</xdr:rowOff>
    </xdr:to>
    <xdr:sp macro="" textlink="">
      <xdr:nvSpPr>
        <xdr:cNvPr id="3" name="Rounded Rectangular Callout 2"/>
        <xdr:cNvSpPr/>
      </xdr:nvSpPr>
      <xdr:spPr>
        <a:xfrm>
          <a:off x="4381500" y="1285875"/>
          <a:ext cx="1143000" cy="457199"/>
        </a:xfrm>
        <a:prstGeom prst="wedgeRoundRectCallout">
          <a:avLst>
            <a:gd name="adj1" fmla="val -58921"/>
            <a:gd name="adj2" fmla="val -1916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400"/>
            <a:t>:datebucket</a:t>
          </a:r>
          <a:endParaRPr kumimoji="1" lang="ja-JP" altLang="en-US" sz="1100" b="1"/>
        </a:p>
      </xdr:txBody>
    </xdr:sp>
    <xdr:clientData/>
  </xdr:twoCellAnchor>
  <xdr:twoCellAnchor>
    <xdr:from>
      <xdr:col>3</xdr:col>
      <xdr:colOff>114300</xdr:colOff>
      <xdr:row>7</xdr:row>
      <xdr:rowOff>47625</xdr:rowOff>
    </xdr:from>
    <xdr:to>
      <xdr:col>4</xdr:col>
      <xdr:colOff>571500</xdr:colOff>
      <xdr:row>9</xdr:row>
      <xdr:rowOff>28574</xdr:rowOff>
    </xdr:to>
    <xdr:sp macro="" textlink="">
      <xdr:nvSpPr>
        <xdr:cNvPr id="4" name="Rounded Rectangular Callout 3"/>
        <xdr:cNvSpPr/>
      </xdr:nvSpPr>
      <xdr:spPr>
        <a:xfrm>
          <a:off x="2171700" y="1714500"/>
          <a:ext cx="1143000" cy="457199"/>
        </a:xfrm>
        <a:prstGeom prst="wedgeRoundRectCallout">
          <a:avLst>
            <a:gd name="adj1" fmla="val -14754"/>
            <a:gd name="adj2" fmla="val -7958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400"/>
            <a:t>:daterange</a:t>
          </a:r>
          <a:endParaRPr kumimoji="1" lang="ja-JP" alt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17</xdr:col>
      <xdr:colOff>20106</xdr:colOff>
      <xdr:row>18</xdr:row>
      <xdr:rowOff>114748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1190625"/>
          <a:ext cx="7563906" cy="3210373"/>
        </a:xfrm>
        <a:prstGeom prst="rect">
          <a:avLst/>
        </a:prstGeom>
      </xdr:spPr>
    </xdr:pic>
    <xdr:clientData/>
  </xdr:twoCellAnchor>
  <xdr:twoCellAnchor>
    <xdr:from>
      <xdr:col>14</xdr:col>
      <xdr:colOff>95249</xdr:colOff>
      <xdr:row>2</xdr:row>
      <xdr:rowOff>152400</xdr:rowOff>
    </xdr:from>
    <xdr:to>
      <xdr:col>21</xdr:col>
      <xdr:colOff>561974</xdr:colOff>
      <xdr:row>4</xdr:row>
      <xdr:rowOff>161925</xdr:rowOff>
    </xdr:to>
    <xdr:sp macro="" textlink="">
      <xdr:nvSpPr>
        <xdr:cNvPr id="5" name="Rounded Rectangular Callout 4"/>
        <xdr:cNvSpPr/>
      </xdr:nvSpPr>
      <xdr:spPr>
        <a:xfrm>
          <a:off x="9696449" y="628650"/>
          <a:ext cx="5267325" cy="485775"/>
        </a:xfrm>
        <a:prstGeom prst="wedgeRoundRectCallout">
          <a:avLst>
            <a:gd name="adj1" fmla="val -23860"/>
            <a:gd name="adj2" fmla="val 127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/>
            <a:t>Row 1: since there is no row before this row, the revenue is retained.</a:t>
          </a:r>
          <a:endParaRPr kumimoji="1" lang="ja-JP" altLang="en-US" sz="1400"/>
        </a:p>
      </xdr:txBody>
    </xdr:sp>
    <xdr:clientData/>
  </xdr:twoCellAnchor>
  <xdr:twoCellAnchor>
    <xdr:from>
      <xdr:col>17</xdr:col>
      <xdr:colOff>209549</xdr:colOff>
      <xdr:row>5</xdr:row>
      <xdr:rowOff>47625</xdr:rowOff>
    </xdr:from>
    <xdr:to>
      <xdr:col>23</xdr:col>
      <xdr:colOff>190500</xdr:colOff>
      <xdr:row>9</xdr:row>
      <xdr:rowOff>47625</xdr:rowOff>
    </xdr:to>
    <xdr:sp macro="" textlink="">
      <xdr:nvSpPr>
        <xdr:cNvPr id="6" name="Rounded Rectangular Callout 5"/>
        <xdr:cNvSpPr/>
      </xdr:nvSpPr>
      <xdr:spPr>
        <a:xfrm>
          <a:off x="11868149" y="1238250"/>
          <a:ext cx="4095751" cy="952500"/>
        </a:xfrm>
        <a:prstGeom prst="wedgeRoundRectCallout">
          <a:avLst>
            <a:gd name="adj1" fmla="val -57133"/>
            <a:gd name="adj2" fmla="val 253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2: the previous revenue is 1000</a:t>
          </a:r>
          <a:br>
            <a:rPr lang="en-US" altLang="ja-JP" sz="1400"/>
          </a:b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1500 - 1000 = 500</a:t>
          </a:r>
          <a:endParaRPr kumimoji="1" lang="ja-JP" altLang="en-US" sz="1400"/>
        </a:p>
      </xdr:txBody>
    </xdr:sp>
    <xdr:clientData/>
  </xdr:twoCellAnchor>
  <xdr:twoCellAnchor>
    <xdr:from>
      <xdr:col>17</xdr:col>
      <xdr:colOff>152399</xdr:colOff>
      <xdr:row>9</xdr:row>
      <xdr:rowOff>133350</xdr:rowOff>
    </xdr:from>
    <xdr:to>
      <xdr:col>23</xdr:col>
      <xdr:colOff>133350</xdr:colOff>
      <xdr:row>13</xdr:row>
      <xdr:rowOff>133350</xdr:rowOff>
    </xdr:to>
    <xdr:sp macro="" textlink="">
      <xdr:nvSpPr>
        <xdr:cNvPr id="7" name="Rounded Rectangular Callout 6"/>
        <xdr:cNvSpPr/>
      </xdr:nvSpPr>
      <xdr:spPr>
        <a:xfrm>
          <a:off x="11810999" y="2276475"/>
          <a:ext cx="4095751" cy="952500"/>
        </a:xfrm>
        <a:prstGeom prst="wedgeRoundRectCallout">
          <a:avLst>
            <a:gd name="adj1" fmla="val -54808"/>
            <a:gd name="adj2" fmla="val -4761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3: the previous revenue is 1500</a:t>
          </a:r>
          <a:br>
            <a:rPr lang="en-US" altLang="ja-JP" sz="1400"/>
          </a:b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500 - 1500 = -1000</a:t>
          </a:r>
          <a:endParaRPr kumimoji="1" lang="ja-JP" altLang="en-US" sz="1400"/>
        </a:p>
      </xdr:txBody>
    </xdr:sp>
    <xdr:clientData/>
  </xdr:twoCellAnchor>
  <xdr:twoCellAnchor>
    <xdr:from>
      <xdr:col>17</xdr:col>
      <xdr:colOff>152399</xdr:colOff>
      <xdr:row>14</xdr:row>
      <xdr:rowOff>0</xdr:rowOff>
    </xdr:from>
    <xdr:to>
      <xdr:col>23</xdr:col>
      <xdr:colOff>133350</xdr:colOff>
      <xdr:row>18</xdr:row>
      <xdr:rowOff>0</xdr:rowOff>
    </xdr:to>
    <xdr:sp macro="" textlink="">
      <xdr:nvSpPr>
        <xdr:cNvPr id="8" name="Rounded Rectangular Callout 7"/>
        <xdr:cNvSpPr/>
      </xdr:nvSpPr>
      <xdr:spPr>
        <a:xfrm>
          <a:off x="11810999" y="3333750"/>
          <a:ext cx="4095751" cy="952500"/>
        </a:xfrm>
        <a:prstGeom prst="wedgeRoundRectCallout">
          <a:avLst>
            <a:gd name="adj1" fmla="val -54808"/>
            <a:gd name="adj2" fmla="val -4761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7: the previous revenue is NULL, </a:t>
          </a:r>
          <a:br>
            <a:rPr lang="en-US" altLang="ja-JP" sz="1400"/>
          </a:b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15000 - NULL = NULL</a:t>
          </a:r>
          <a:endParaRPr kumimoji="1" lang="ja-JP" altLang="en-US" sz="1400"/>
        </a:p>
      </xdr:txBody>
    </xdr:sp>
    <xdr:clientData/>
  </xdr:twoCellAnchor>
  <xdr:twoCellAnchor editAs="oneCell">
    <xdr:from>
      <xdr:col>6</xdr:col>
      <xdr:colOff>0</xdr:colOff>
      <xdr:row>37</xdr:row>
      <xdr:rowOff>0</xdr:rowOff>
    </xdr:from>
    <xdr:to>
      <xdr:col>13</xdr:col>
      <xdr:colOff>513686</xdr:colOff>
      <xdr:row>50</xdr:row>
      <xdr:rowOff>123423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8810625"/>
          <a:ext cx="5314286" cy="3219048"/>
        </a:xfrm>
        <a:prstGeom prst="rect">
          <a:avLst/>
        </a:prstGeom>
      </xdr:spPr>
    </xdr:pic>
    <xdr:clientData/>
  </xdr:twoCellAnchor>
  <xdr:twoCellAnchor>
    <xdr:from>
      <xdr:col>11</xdr:col>
      <xdr:colOff>314325</xdr:colOff>
      <xdr:row>34</xdr:row>
      <xdr:rowOff>152400</xdr:rowOff>
    </xdr:from>
    <xdr:to>
      <xdr:col>19</xdr:col>
      <xdr:colOff>95250</xdr:colOff>
      <xdr:row>36</xdr:row>
      <xdr:rowOff>209550</xdr:rowOff>
    </xdr:to>
    <xdr:sp macro="" textlink="">
      <xdr:nvSpPr>
        <xdr:cNvPr id="10" name="Rounded Rectangular Callout 9"/>
        <xdr:cNvSpPr/>
      </xdr:nvSpPr>
      <xdr:spPr>
        <a:xfrm>
          <a:off x="7858125" y="8248650"/>
          <a:ext cx="5267325" cy="533400"/>
        </a:xfrm>
        <a:prstGeom prst="wedgeRoundRectCallout">
          <a:avLst>
            <a:gd name="adj1" fmla="val -24402"/>
            <a:gd name="adj2" fmla="val 12422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/>
            <a:t>Row 1: since there is no row before this row, the revenue is retained.</a:t>
          </a:r>
          <a:endParaRPr kumimoji="1" lang="ja-JP" altLang="en-US" sz="1400"/>
        </a:p>
      </xdr:txBody>
    </xdr:sp>
    <xdr:clientData/>
  </xdr:twoCellAnchor>
  <xdr:twoCellAnchor>
    <xdr:from>
      <xdr:col>14</xdr:col>
      <xdr:colOff>314325</xdr:colOff>
      <xdr:row>37</xdr:row>
      <xdr:rowOff>66675</xdr:rowOff>
    </xdr:from>
    <xdr:to>
      <xdr:col>20</xdr:col>
      <xdr:colOff>295276</xdr:colOff>
      <xdr:row>41</xdr:row>
      <xdr:rowOff>66675</xdr:rowOff>
    </xdr:to>
    <xdr:sp macro="" textlink="">
      <xdr:nvSpPr>
        <xdr:cNvPr id="11" name="Rounded Rectangular Callout 10"/>
        <xdr:cNvSpPr/>
      </xdr:nvSpPr>
      <xdr:spPr>
        <a:xfrm>
          <a:off x="9915525" y="8877300"/>
          <a:ext cx="4095751" cy="952500"/>
        </a:xfrm>
        <a:prstGeom prst="wedgeRoundRectCallout">
          <a:avLst>
            <a:gd name="adj1" fmla="val -63412"/>
            <a:gd name="adj2" fmla="val 243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2: the previous revenue is 1000</a:t>
          </a:r>
          <a:br>
            <a:rPr lang="en-US" altLang="ja-JP" sz="1400"/>
          </a:b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1500 - 1000 = 500</a:t>
          </a:r>
          <a:endParaRPr kumimoji="1" lang="ja-JP" altLang="en-US" sz="1400"/>
        </a:p>
      </xdr:txBody>
    </xdr:sp>
    <xdr:clientData/>
  </xdr:twoCellAnchor>
  <xdr:twoCellAnchor>
    <xdr:from>
      <xdr:col>14</xdr:col>
      <xdr:colOff>38100</xdr:colOff>
      <xdr:row>41</xdr:row>
      <xdr:rowOff>171450</xdr:rowOff>
    </xdr:from>
    <xdr:to>
      <xdr:col>20</xdr:col>
      <xdr:colOff>19051</xdr:colOff>
      <xdr:row>45</xdr:row>
      <xdr:rowOff>171450</xdr:rowOff>
    </xdr:to>
    <xdr:sp macro="" textlink="">
      <xdr:nvSpPr>
        <xdr:cNvPr id="12" name="Rounded Rectangular Callout 11"/>
        <xdr:cNvSpPr/>
      </xdr:nvSpPr>
      <xdr:spPr>
        <a:xfrm>
          <a:off x="9639300" y="9934575"/>
          <a:ext cx="4095751" cy="952500"/>
        </a:xfrm>
        <a:prstGeom prst="wedgeRoundRectCallout">
          <a:avLst>
            <a:gd name="adj1" fmla="val -56901"/>
            <a:gd name="adj2" fmla="val -5361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3: the previous revenue is 1500</a:t>
          </a:r>
          <a:br>
            <a:rPr lang="en-US" altLang="ja-JP" sz="1400"/>
          </a:b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500 - 1500 = -1000</a:t>
          </a:r>
          <a:endParaRPr kumimoji="1" lang="ja-JP" altLang="en-US" sz="1400"/>
        </a:p>
      </xdr:txBody>
    </xdr:sp>
    <xdr:clientData/>
  </xdr:twoCellAnchor>
  <xdr:twoCellAnchor>
    <xdr:from>
      <xdr:col>14</xdr:col>
      <xdr:colOff>95250</xdr:colOff>
      <xdr:row>46</xdr:row>
      <xdr:rowOff>95250</xdr:rowOff>
    </xdr:from>
    <xdr:to>
      <xdr:col>20</xdr:col>
      <xdr:colOff>76201</xdr:colOff>
      <xdr:row>53</xdr:row>
      <xdr:rowOff>95250</xdr:rowOff>
    </xdr:to>
    <xdr:sp macro="" textlink="">
      <xdr:nvSpPr>
        <xdr:cNvPr id="13" name="Rounded Rectangular Callout 12"/>
        <xdr:cNvSpPr/>
      </xdr:nvSpPr>
      <xdr:spPr>
        <a:xfrm>
          <a:off x="9696450" y="11049000"/>
          <a:ext cx="4095751" cy="1666875"/>
        </a:xfrm>
        <a:prstGeom prst="wedgeRoundRectCallout">
          <a:avLst>
            <a:gd name="adj1" fmla="val -58994"/>
            <a:gd name="adj2" fmla="val -5449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/>
            <a:t>Row 7: the previous revenue is NULL,</a:t>
          </a:r>
          <a:r>
            <a:rPr lang="en-US" altLang="ja-JP" sz="1400" baseline="0"/>
            <a:t> so i</a:t>
          </a:r>
          <a:r>
            <a:rPr lang="en-US" altLang="ja-JP" sz="1400"/>
            <a:t>t goes further back until it finds a </a:t>
          </a:r>
          <a:r>
            <a:rPr lang="en-US" altLang="ja-JP" sz="1400" b="1"/>
            <a:t>non-NULL</a:t>
          </a:r>
          <a:r>
            <a:rPr lang="en-US" altLang="ja-JP" sz="1400"/>
            <a:t> revenue. and the revenue in row 5 is 10000.</a:t>
          </a:r>
          <a:br>
            <a:rPr lang="en-US" altLang="ja-JP" sz="1400"/>
          </a:br>
          <a:endParaRPr lang="en-US" altLang="ja-JP" sz="14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/>
            <a:t>diff_to_prev = current revenue - previous revenue </a:t>
          </a:r>
          <a:br>
            <a:rPr lang="en-US" altLang="ja-JP" sz="1400"/>
          </a:br>
          <a:r>
            <a:rPr lang="en-US" altLang="ja-JP" sz="1400"/>
            <a:t>                       </a:t>
          </a:r>
          <a:r>
            <a:rPr lang="en-US" altLang="ja-JP" sz="1400" baseline="0"/>
            <a:t> </a:t>
          </a:r>
          <a:r>
            <a:rPr lang="en-US" altLang="ja-JP" sz="1400"/>
            <a:t>= 15000 - 10000 = 5000</a:t>
          </a:r>
          <a:endParaRPr kumimoji="1" lang="ja-JP" alt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13</xdr:col>
      <xdr:colOff>29440</xdr:colOff>
      <xdr:row>28</xdr:row>
      <xdr:rowOff>134166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952500"/>
          <a:ext cx="6201640" cy="5849166"/>
        </a:xfrm>
        <a:prstGeom prst="rect">
          <a:avLst/>
        </a:prstGeom>
      </xdr:spPr>
    </xdr:pic>
    <xdr:clientData/>
  </xdr:twoCellAnchor>
  <xdr:twoCellAnchor>
    <xdr:from>
      <xdr:col>12</xdr:col>
      <xdr:colOff>485776</xdr:colOff>
      <xdr:row>14</xdr:row>
      <xdr:rowOff>95250</xdr:rowOff>
    </xdr:from>
    <xdr:to>
      <xdr:col>19</xdr:col>
      <xdr:colOff>238126</xdr:colOff>
      <xdr:row>16</xdr:row>
      <xdr:rowOff>57149</xdr:rowOff>
    </xdr:to>
    <xdr:sp macro="" textlink="">
      <xdr:nvSpPr>
        <xdr:cNvPr id="3" name="Rounded Rectangular Callout 2"/>
        <xdr:cNvSpPr/>
      </xdr:nvSpPr>
      <xdr:spPr>
        <a:xfrm>
          <a:off x="8715376" y="3429000"/>
          <a:ext cx="4552950" cy="438149"/>
        </a:xfrm>
        <a:prstGeom prst="wedgeRoundRectCallout">
          <a:avLst>
            <a:gd name="adj1" fmla="val -47250"/>
            <a:gd name="adj2" fmla="val 928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The first row</a:t>
          </a:r>
          <a:r>
            <a:rPr lang="en-US" altLang="ja-JP" sz="1400" baseline="0"/>
            <a:t> is retained cuz there is no row before this one</a:t>
          </a:r>
          <a:endParaRPr kumimoji="1" lang="ja-JP" altLang="en-US" sz="1400"/>
        </a:p>
      </xdr:txBody>
    </xdr:sp>
    <xdr:clientData/>
  </xdr:twoCellAnchor>
  <xdr:twoCellAnchor>
    <xdr:from>
      <xdr:col>13</xdr:col>
      <xdr:colOff>171450</xdr:colOff>
      <xdr:row>20</xdr:row>
      <xdr:rowOff>38099</xdr:rowOff>
    </xdr:from>
    <xdr:to>
      <xdr:col>17</xdr:col>
      <xdr:colOff>352425</xdr:colOff>
      <xdr:row>24</xdr:row>
      <xdr:rowOff>114300</xdr:rowOff>
    </xdr:to>
    <xdr:sp macro="" textlink="">
      <xdr:nvSpPr>
        <xdr:cNvPr id="4" name="Rounded Rectangular Callout 3"/>
        <xdr:cNvSpPr/>
      </xdr:nvSpPr>
      <xdr:spPr>
        <a:xfrm>
          <a:off x="9086850" y="4800599"/>
          <a:ext cx="2924175" cy="1028701"/>
        </a:xfrm>
        <a:prstGeom prst="wedgeRoundRectCallout">
          <a:avLst>
            <a:gd name="adj1" fmla="val -59341"/>
            <a:gd name="adj2" fmla="val -393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0" lang="en-US" altLang="ja-JP" sz="1400"/>
            <a:t>Row</a:t>
          </a:r>
          <a:r>
            <a:rPr kumimoji="0" lang="en-US" altLang="ja-JP" sz="1400" baseline="0"/>
            <a:t> 3: (100 + 120 + 130) / 3 = 116.7</a:t>
          </a:r>
          <a:br>
            <a:rPr kumimoji="0" lang="en-US" altLang="ja-JP" sz="1400" baseline="0"/>
          </a:br>
          <a:r>
            <a:rPr kumimoji="0" lang="en-US" altLang="ja-JP" sz="1400" baseline="0"/>
            <a:t>Row 4: (120 + 130 + 140) / 3 = 130</a:t>
          </a:r>
        </a:p>
        <a:p>
          <a:pPr algn="l"/>
          <a:r>
            <a:rPr kumimoji="1" lang="en-US" altLang="ja-JP" sz="1400"/>
            <a:t>Row 5: (130 + 140 + 150) / 3 = 140</a:t>
          </a:r>
        </a:p>
      </xdr:txBody>
    </xdr:sp>
    <xdr:clientData/>
  </xdr:twoCellAnchor>
  <xdr:twoCellAnchor>
    <xdr:from>
      <xdr:col>13</xdr:col>
      <xdr:colOff>161926</xdr:colOff>
      <xdr:row>17</xdr:row>
      <xdr:rowOff>66674</xdr:rowOff>
    </xdr:from>
    <xdr:to>
      <xdr:col>16</xdr:col>
      <xdr:colOff>390526</xdr:colOff>
      <xdr:row>19</xdr:row>
      <xdr:rowOff>104775</xdr:rowOff>
    </xdr:to>
    <xdr:sp macro="" textlink="">
      <xdr:nvSpPr>
        <xdr:cNvPr id="8" name="Rounded Rectangular Callout 7"/>
        <xdr:cNvSpPr/>
      </xdr:nvSpPr>
      <xdr:spPr>
        <a:xfrm>
          <a:off x="9077326" y="4114799"/>
          <a:ext cx="2286000" cy="514351"/>
        </a:xfrm>
        <a:prstGeom prst="wedgeRoundRectCallout">
          <a:avLst>
            <a:gd name="adj1" fmla="val -62348"/>
            <a:gd name="adj2" fmla="val -604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0" lang="en-US" altLang="ja-JP" sz="1400"/>
            <a:t>Row</a:t>
          </a:r>
          <a:r>
            <a:rPr kumimoji="0" lang="en-US" altLang="ja-JP" sz="1400" baseline="0"/>
            <a:t> 2: (100 + 120) / 2 = 110</a:t>
          </a:r>
          <a:endParaRPr kumimoji="1" lang="ja-JP" altLang="en-US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13</xdr:col>
      <xdr:colOff>677135</xdr:colOff>
      <xdr:row>29</xdr:row>
      <xdr:rowOff>57956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1190625"/>
          <a:ext cx="6163535" cy="5772956"/>
        </a:xfrm>
        <a:prstGeom prst="rect">
          <a:avLst/>
        </a:prstGeom>
      </xdr:spPr>
    </xdr:pic>
    <xdr:clientData/>
  </xdr:twoCellAnchor>
  <xdr:twoCellAnchor>
    <xdr:from>
      <xdr:col>13</xdr:col>
      <xdr:colOff>457201</xdr:colOff>
      <xdr:row>14</xdr:row>
      <xdr:rowOff>114300</xdr:rowOff>
    </xdr:from>
    <xdr:to>
      <xdr:col>20</xdr:col>
      <xdr:colOff>209551</xdr:colOff>
      <xdr:row>16</xdr:row>
      <xdr:rowOff>76199</xdr:rowOff>
    </xdr:to>
    <xdr:sp macro="" textlink="">
      <xdr:nvSpPr>
        <xdr:cNvPr id="3" name="Rounded Rectangular Callout 2"/>
        <xdr:cNvSpPr/>
      </xdr:nvSpPr>
      <xdr:spPr>
        <a:xfrm>
          <a:off x="9372601" y="3448050"/>
          <a:ext cx="4552950" cy="438149"/>
        </a:xfrm>
        <a:prstGeom prst="wedgeRoundRectCallout">
          <a:avLst>
            <a:gd name="adj1" fmla="val -47040"/>
            <a:gd name="adj2" fmla="val 11462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The first row</a:t>
          </a:r>
          <a:r>
            <a:rPr lang="en-US" altLang="ja-JP" sz="1400" baseline="0"/>
            <a:t> is retained cuz there is no row before this one</a:t>
          </a:r>
          <a:endParaRPr kumimoji="1" lang="ja-JP" altLang="en-US" sz="1400"/>
        </a:p>
      </xdr:txBody>
    </xdr:sp>
    <xdr:clientData/>
  </xdr:twoCellAnchor>
  <xdr:twoCellAnchor>
    <xdr:from>
      <xdr:col>14</xdr:col>
      <xdr:colOff>219075</xdr:colOff>
      <xdr:row>20</xdr:row>
      <xdr:rowOff>66674</xdr:rowOff>
    </xdr:from>
    <xdr:to>
      <xdr:col>22</xdr:col>
      <xdr:colOff>352425</xdr:colOff>
      <xdr:row>25</xdr:row>
      <xdr:rowOff>95250</xdr:rowOff>
    </xdr:to>
    <xdr:sp macro="" textlink="">
      <xdr:nvSpPr>
        <xdr:cNvPr id="4" name="Rounded Rectangular Callout 3"/>
        <xdr:cNvSpPr/>
      </xdr:nvSpPr>
      <xdr:spPr>
        <a:xfrm>
          <a:off x="9820275" y="4829174"/>
          <a:ext cx="5619750" cy="1219201"/>
        </a:xfrm>
        <a:prstGeom prst="wedgeRoundRectCallout">
          <a:avLst>
            <a:gd name="adj1" fmla="val -55612"/>
            <a:gd name="adj2" fmla="val -4016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Row 3 (Jan 3): Dates between Jan 1–3 → (100 + 120 + 130) / 3 = 116.7</a:t>
          </a:r>
          <a:br>
            <a:rPr lang="en-US" altLang="ja-JP" sz="1400"/>
          </a:br>
          <a:r>
            <a:rPr lang="en-US" altLang="ja-JP" sz="1400"/>
            <a:t>Row 4 (Jan 5): Dates between Jan 3–5 → (130 + 140) / 2 = 135</a:t>
          </a:r>
          <a:br>
            <a:rPr lang="en-US" altLang="ja-JP" sz="1400"/>
          </a:br>
          <a:r>
            <a:rPr lang="en-US" altLang="ja-JP" sz="1400"/>
            <a:t>Row 5 (Jan 6): Dates between Jan 4–6 → (140 + 150) / 2 = 145</a:t>
          </a:r>
          <a:endParaRPr kumimoji="1" lang="en-US" altLang="ja-JP" sz="1400"/>
        </a:p>
      </xdr:txBody>
    </xdr:sp>
    <xdr:clientData/>
  </xdr:twoCellAnchor>
  <xdr:twoCellAnchor>
    <xdr:from>
      <xdr:col>14</xdr:col>
      <xdr:colOff>371476</xdr:colOff>
      <xdr:row>17</xdr:row>
      <xdr:rowOff>114299</xdr:rowOff>
    </xdr:from>
    <xdr:to>
      <xdr:col>17</xdr:col>
      <xdr:colOff>600076</xdr:colOff>
      <xdr:row>19</xdr:row>
      <xdr:rowOff>152400</xdr:rowOff>
    </xdr:to>
    <xdr:sp macro="" textlink="">
      <xdr:nvSpPr>
        <xdr:cNvPr id="5" name="Rounded Rectangular Callout 4"/>
        <xdr:cNvSpPr/>
      </xdr:nvSpPr>
      <xdr:spPr>
        <a:xfrm>
          <a:off x="9972676" y="4162424"/>
          <a:ext cx="2286000" cy="514351"/>
        </a:xfrm>
        <a:prstGeom prst="wedgeRoundRectCallout">
          <a:avLst>
            <a:gd name="adj1" fmla="val -69015"/>
            <a:gd name="adj2" fmla="val 1802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0" lang="en-US" altLang="ja-JP" sz="1400"/>
            <a:t>Row</a:t>
          </a:r>
          <a:r>
            <a:rPr kumimoji="0" lang="en-US" altLang="ja-JP" sz="1400" baseline="0"/>
            <a:t> 2: (100 + 120) / 2 = 110</a:t>
          </a:r>
          <a:endParaRPr kumimoji="1" lang="ja-JP" altLang="en-US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639030</xdr:colOff>
      <xdr:row>30</xdr:row>
      <xdr:rowOff>143693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1428750"/>
          <a:ext cx="6125430" cy="5858693"/>
        </a:xfrm>
        <a:prstGeom prst="rect">
          <a:avLst/>
        </a:prstGeom>
      </xdr:spPr>
    </xdr:pic>
    <xdr:clientData/>
  </xdr:twoCellAnchor>
  <xdr:twoCellAnchor>
    <xdr:from>
      <xdr:col>14</xdr:col>
      <xdr:colOff>419100</xdr:colOff>
      <xdr:row>16</xdr:row>
      <xdr:rowOff>47625</xdr:rowOff>
    </xdr:from>
    <xdr:to>
      <xdr:col>21</xdr:col>
      <xdr:colOff>171450</xdr:colOff>
      <xdr:row>18</xdr:row>
      <xdr:rowOff>9524</xdr:rowOff>
    </xdr:to>
    <xdr:sp macro="" textlink="">
      <xdr:nvSpPr>
        <xdr:cNvPr id="3" name="Rounded Rectangular Callout 2"/>
        <xdr:cNvSpPr/>
      </xdr:nvSpPr>
      <xdr:spPr>
        <a:xfrm>
          <a:off x="10020300" y="3857625"/>
          <a:ext cx="4552950" cy="438149"/>
        </a:xfrm>
        <a:prstGeom prst="wedgeRoundRectCallout">
          <a:avLst>
            <a:gd name="adj1" fmla="val -47250"/>
            <a:gd name="adj2" fmla="val 928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400"/>
            <a:t>The first row</a:t>
          </a:r>
          <a:r>
            <a:rPr lang="en-US" altLang="ja-JP" sz="1400" baseline="0"/>
            <a:t> is retained cuz there is no row before this one</a:t>
          </a:r>
          <a:endParaRPr kumimoji="1" lang="ja-JP" altLang="en-US" sz="1400"/>
        </a:p>
      </xdr:txBody>
    </xdr:sp>
    <xdr:clientData/>
  </xdr:twoCellAnchor>
  <xdr:twoCellAnchor>
    <xdr:from>
      <xdr:col>15</xdr:col>
      <xdr:colOff>123824</xdr:colOff>
      <xdr:row>23</xdr:row>
      <xdr:rowOff>123824</xdr:rowOff>
    </xdr:from>
    <xdr:to>
      <xdr:col>20</xdr:col>
      <xdr:colOff>9525</xdr:colOff>
      <xdr:row>27</xdr:row>
      <xdr:rowOff>200025</xdr:rowOff>
    </xdr:to>
    <xdr:sp macro="" textlink="">
      <xdr:nvSpPr>
        <xdr:cNvPr id="4" name="Rounded Rectangular Callout 3"/>
        <xdr:cNvSpPr/>
      </xdr:nvSpPr>
      <xdr:spPr>
        <a:xfrm>
          <a:off x="10410824" y="5600699"/>
          <a:ext cx="3314701" cy="1028701"/>
        </a:xfrm>
        <a:prstGeom prst="wedgeRoundRectCallout">
          <a:avLst>
            <a:gd name="adj1" fmla="val -59054"/>
            <a:gd name="adj2" fmla="val -3938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0" lang="en-US" altLang="ja-JP" sz="1400" baseline="0"/>
            <a:t>Row 4: (100+ 120 + 130 + 140) / 4 = 122.5</a:t>
          </a:r>
        </a:p>
        <a:p>
          <a:pPr algn="l"/>
          <a:r>
            <a:rPr kumimoji="1" lang="en-US" altLang="ja-JP" sz="1400"/>
            <a:t>Row 5: (120 + 130 + 140 + 150) / 4 = 135</a:t>
          </a:r>
          <a:br>
            <a:rPr kumimoji="1" lang="en-US" altLang="ja-JP" sz="1400"/>
          </a:br>
          <a:r>
            <a:rPr kumimoji="1" lang="en-US" altLang="ja-JP" sz="1400"/>
            <a:t>Row 6: (130 + 140 + 150 + 160) / 4 = 145</a:t>
          </a:r>
        </a:p>
      </xdr:txBody>
    </xdr:sp>
    <xdr:clientData/>
  </xdr:twoCellAnchor>
  <xdr:twoCellAnchor>
    <xdr:from>
      <xdr:col>15</xdr:col>
      <xdr:colOff>76199</xdr:colOff>
      <xdr:row>19</xdr:row>
      <xdr:rowOff>57149</xdr:rowOff>
    </xdr:from>
    <xdr:to>
      <xdr:col>19</xdr:col>
      <xdr:colOff>285750</xdr:colOff>
      <xdr:row>22</xdr:row>
      <xdr:rowOff>209550</xdr:rowOff>
    </xdr:to>
    <xdr:sp macro="" textlink="">
      <xdr:nvSpPr>
        <xdr:cNvPr id="5" name="Rounded Rectangular Callout 4"/>
        <xdr:cNvSpPr/>
      </xdr:nvSpPr>
      <xdr:spPr>
        <a:xfrm>
          <a:off x="10363199" y="4581524"/>
          <a:ext cx="2952751" cy="866776"/>
        </a:xfrm>
        <a:prstGeom prst="wedgeRoundRectCallout">
          <a:avLst>
            <a:gd name="adj1" fmla="val -57509"/>
            <a:gd name="adj2" fmla="val -824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0" lang="en-US" altLang="ja-JP" sz="1400"/>
            <a:t>Row</a:t>
          </a:r>
          <a:r>
            <a:rPr kumimoji="0" lang="en-US" altLang="ja-JP" sz="1400" baseline="0"/>
            <a:t> 2: (100 + 120) / 2 = 110</a:t>
          </a:r>
          <a:br>
            <a:rPr kumimoji="0" lang="en-US" altLang="ja-JP" sz="1400" baseline="0"/>
          </a:br>
          <a:r>
            <a:rPr kumimoji="0" lang="en-US" altLang="ja-JP" sz="1400" baseline="0"/>
            <a:t>Row 3: (100 + 120 + 130) / 3 = 116.7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484686</xdr:colOff>
      <xdr:row>19</xdr:row>
      <xdr:rowOff>170863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4286" cy="4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E7" workbookViewId="0">
      <selection activeCell="K33" sqref="K33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" sqref="H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workbookViewId="0">
      <selection activeCell="X45" sqref="X4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S19" sqref="S1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Y18" sqref="Y1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E66" sqref="E66"/>
    </sheetView>
  </sheetViews>
  <sheetFormatPr defaultRowHeight="18.75" x14ac:dyDescent="0.4"/>
  <sheetData>
    <row r="1" spans="1:7" x14ac:dyDescent="0.4">
      <c r="A1">
        <v>4</v>
      </c>
      <c r="C1" s="2">
        <v>1</v>
      </c>
      <c r="D1" s="2">
        <f>ROUND($D$5*E1, 0)</f>
        <v>11</v>
      </c>
      <c r="E1" s="3">
        <v>0.17</v>
      </c>
      <c r="F1">
        <f>COUNTIF($A$1:$A$65, C1)</f>
        <v>11</v>
      </c>
      <c r="G1" s="1">
        <f>COUNTIF($A$1:$A$65, C1)/COUNTA($A$1:$A$65)</f>
        <v>0.16923076923076924</v>
      </c>
    </row>
    <row r="2" spans="1:7" x14ac:dyDescent="0.4">
      <c r="A2">
        <v>2</v>
      </c>
      <c r="C2" s="2">
        <v>2</v>
      </c>
      <c r="D2" s="2">
        <f t="shared" ref="D2:D4" si="0">ROUND($D$5*E2, 0)</f>
        <v>15</v>
      </c>
      <c r="E2" s="3">
        <v>0.23</v>
      </c>
      <c r="F2">
        <f t="shared" ref="F2:F4" si="1">COUNTIF($A$1:$A$65, C2)</f>
        <v>15</v>
      </c>
      <c r="G2" s="1">
        <f t="shared" ref="G2:G4" si="2">COUNTIF($A$1:$A$65, C2)/COUNTA($A$1:$A$65)</f>
        <v>0.23076923076923078</v>
      </c>
    </row>
    <row r="3" spans="1:7" x14ac:dyDescent="0.4">
      <c r="A3">
        <v>4</v>
      </c>
      <c r="C3" s="2">
        <v>3</v>
      </c>
      <c r="D3" s="2">
        <f t="shared" si="0"/>
        <v>21</v>
      </c>
      <c r="E3" s="3">
        <v>0.32</v>
      </c>
      <c r="F3">
        <f t="shared" si="1"/>
        <v>21</v>
      </c>
      <c r="G3" s="1">
        <f t="shared" si="2"/>
        <v>0.32307692307692309</v>
      </c>
    </row>
    <row r="4" spans="1:7" x14ac:dyDescent="0.4">
      <c r="A4">
        <v>2</v>
      </c>
      <c r="C4" s="2">
        <v>4</v>
      </c>
      <c r="D4" s="2">
        <f t="shared" si="0"/>
        <v>18</v>
      </c>
      <c r="E4" s="3">
        <v>0.28000000000000003</v>
      </c>
      <c r="F4">
        <f t="shared" si="1"/>
        <v>18</v>
      </c>
      <c r="G4" s="1">
        <f t="shared" si="2"/>
        <v>0.27692307692307694</v>
      </c>
    </row>
    <row r="5" spans="1:7" x14ac:dyDescent="0.4">
      <c r="A5">
        <v>2</v>
      </c>
      <c r="D5" s="4">
        <v>65</v>
      </c>
    </row>
    <row r="6" spans="1:7" x14ac:dyDescent="0.4">
      <c r="A6">
        <v>3</v>
      </c>
      <c r="D6" s="4">
        <f>SUM(D1:D4)</f>
        <v>65</v>
      </c>
      <c r="E6" s="1">
        <f>SUM(E1:E4)</f>
        <v>1</v>
      </c>
      <c r="F6">
        <f>SUM(F1:F4)</f>
        <v>65</v>
      </c>
      <c r="G6" s="1">
        <f>SUM(G1:G4)</f>
        <v>1</v>
      </c>
    </row>
    <row r="7" spans="1:7" x14ac:dyDescent="0.4">
      <c r="A7">
        <v>2</v>
      </c>
    </row>
    <row r="8" spans="1:7" x14ac:dyDescent="0.4">
      <c r="A8">
        <v>2</v>
      </c>
    </row>
    <row r="9" spans="1:7" x14ac:dyDescent="0.4">
      <c r="A9">
        <v>4</v>
      </c>
    </row>
    <row r="10" spans="1:7" x14ac:dyDescent="0.4">
      <c r="A10">
        <v>4</v>
      </c>
    </row>
    <row r="11" spans="1:7" x14ac:dyDescent="0.4">
      <c r="A11">
        <v>3</v>
      </c>
    </row>
    <row r="12" spans="1:7" x14ac:dyDescent="0.4">
      <c r="A12">
        <v>1</v>
      </c>
    </row>
    <row r="13" spans="1:7" x14ac:dyDescent="0.4">
      <c r="A13">
        <v>4</v>
      </c>
    </row>
    <row r="14" spans="1:7" x14ac:dyDescent="0.4">
      <c r="A14">
        <v>4</v>
      </c>
    </row>
    <row r="15" spans="1:7" x14ac:dyDescent="0.4">
      <c r="A15">
        <v>4</v>
      </c>
    </row>
    <row r="16" spans="1:7" x14ac:dyDescent="0.4">
      <c r="A16">
        <v>1</v>
      </c>
    </row>
    <row r="17" spans="1:1" x14ac:dyDescent="0.4">
      <c r="A17">
        <v>3</v>
      </c>
    </row>
    <row r="18" spans="1:1" x14ac:dyDescent="0.4">
      <c r="A18">
        <v>2</v>
      </c>
    </row>
    <row r="19" spans="1:1" x14ac:dyDescent="0.4">
      <c r="A19">
        <v>4</v>
      </c>
    </row>
    <row r="20" spans="1:1" x14ac:dyDescent="0.4">
      <c r="A20">
        <v>4</v>
      </c>
    </row>
    <row r="21" spans="1:1" x14ac:dyDescent="0.4">
      <c r="A21">
        <v>1</v>
      </c>
    </row>
    <row r="22" spans="1:1" x14ac:dyDescent="0.4">
      <c r="A22">
        <v>2</v>
      </c>
    </row>
    <row r="23" spans="1:1" x14ac:dyDescent="0.4">
      <c r="A23">
        <v>3</v>
      </c>
    </row>
    <row r="24" spans="1:1" x14ac:dyDescent="0.4">
      <c r="A24">
        <v>2</v>
      </c>
    </row>
    <row r="25" spans="1:1" x14ac:dyDescent="0.4">
      <c r="A25">
        <v>4</v>
      </c>
    </row>
    <row r="26" spans="1:1" x14ac:dyDescent="0.4">
      <c r="A26">
        <v>1</v>
      </c>
    </row>
    <row r="27" spans="1:1" x14ac:dyDescent="0.4">
      <c r="A27">
        <v>3</v>
      </c>
    </row>
    <row r="28" spans="1:1" x14ac:dyDescent="0.4">
      <c r="A28">
        <v>2</v>
      </c>
    </row>
    <row r="29" spans="1:1" x14ac:dyDescent="0.4">
      <c r="A29">
        <v>4</v>
      </c>
    </row>
    <row r="30" spans="1:1" x14ac:dyDescent="0.4">
      <c r="A30">
        <v>1</v>
      </c>
    </row>
    <row r="31" spans="1:1" x14ac:dyDescent="0.4">
      <c r="A31">
        <v>1</v>
      </c>
    </row>
    <row r="32" spans="1:1" x14ac:dyDescent="0.4">
      <c r="A32">
        <v>1</v>
      </c>
    </row>
    <row r="33" spans="1:1" x14ac:dyDescent="0.4">
      <c r="A33">
        <v>3</v>
      </c>
    </row>
    <row r="34" spans="1:1" x14ac:dyDescent="0.4">
      <c r="A34">
        <v>3</v>
      </c>
    </row>
    <row r="35" spans="1:1" x14ac:dyDescent="0.4">
      <c r="A35">
        <v>1</v>
      </c>
    </row>
    <row r="36" spans="1:1" x14ac:dyDescent="0.4">
      <c r="A36">
        <v>4</v>
      </c>
    </row>
    <row r="37" spans="1:1" x14ac:dyDescent="0.4">
      <c r="A37">
        <v>2</v>
      </c>
    </row>
    <row r="38" spans="1:1" x14ac:dyDescent="0.4">
      <c r="A38">
        <v>2</v>
      </c>
    </row>
    <row r="39" spans="1:1" x14ac:dyDescent="0.4">
      <c r="A39">
        <v>3</v>
      </c>
    </row>
    <row r="40" spans="1:1" x14ac:dyDescent="0.4">
      <c r="A40">
        <v>4</v>
      </c>
    </row>
    <row r="41" spans="1:1" x14ac:dyDescent="0.4">
      <c r="A41">
        <v>1</v>
      </c>
    </row>
    <row r="42" spans="1:1" x14ac:dyDescent="0.4">
      <c r="A42">
        <v>1</v>
      </c>
    </row>
    <row r="43" spans="1:1" x14ac:dyDescent="0.4">
      <c r="A43">
        <v>1</v>
      </c>
    </row>
    <row r="44" spans="1:1" x14ac:dyDescent="0.4">
      <c r="A44">
        <v>2</v>
      </c>
    </row>
    <row r="45" spans="1:1" x14ac:dyDescent="0.4">
      <c r="A45">
        <v>2</v>
      </c>
    </row>
    <row r="46" spans="1:1" x14ac:dyDescent="0.4">
      <c r="A46">
        <v>2</v>
      </c>
    </row>
    <row r="47" spans="1:1" x14ac:dyDescent="0.4">
      <c r="A47">
        <v>3</v>
      </c>
    </row>
    <row r="48" spans="1:1" x14ac:dyDescent="0.4">
      <c r="A48">
        <v>3</v>
      </c>
    </row>
    <row r="49" spans="1:1" x14ac:dyDescent="0.4">
      <c r="A49">
        <v>2</v>
      </c>
    </row>
    <row r="50" spans="1:1" x14ac:dyDescent="0.4">
      <c r="A50">
        <v>3</v>
      </c>
    </row>
    <row r="51" spans="1:1" x14ac:dyDescent="0.4">
      <c r="A51">
        <v>3</v>
      </c>
    </row>
    <row r="52" spans="1:1" x14ac:dyDescent="0.4">
      <c r="A52">
        <v>3</v>
      </c>
    </row>
    <row r="53" spans="1:1" x14ac:dyDescent="0.4">
      <c r="A53">
        <v>3</v>
      </c>
    </row>
    <row r="54" spans="1:1" x14ac:dyDescent="0.4">
      <c r="A54">
        <v>3</v>
      </c>
    </row>
    <row r="55" spans="1:1" x14ac:dyDescent="0.4">
      <c r="A55">
        <v>3</v>
      </c>
    </row>
    <row r="56" spans="1:1" x14ac:dyDescent="0.4">
      <c r="A56">
        <v>3</v>
      </c>
    </row>
    <row r="57" spans="1:1" x14ac:dyDescent="0.4">
      <c r="A57">
        <v>3</v>
      </c>
    </row>
    <row r="58" spans="1:1" x14ac:dyDescent="0.4">
      <c r="A58">
        <v>3</v>
      </c>
    </row>
    <row r="59" spans="1:1" x14ac:dyDescent="0.4">
      <c r="A59">
        <v>3</v>
      </c>
    </row>
    <row r="60" spans="1:1" x14ac:dyDescent="0.4">
      <c r="A60">
        <v>3</v>
      </c>
    </row>
    <row r="61" spans="1:1" x14ac:dyDescent="0.4">
      <c r="A61">
        <v>4</v>
      </c>
    </row>
    <row r="62" spans="1:1" x14ac:dyDescent="0.4">
      <c r="A62">
        <v>4</v>
      </c>
    </row>
    <row r="63" spans="1:1" x14ac:dyDescent="0.4">
      <c r="A63">
        <v>4</v>
      </c>
    </row>
    <row r="64" spans="1:1" x14ac:dyDescent="0.4">
      <c r="A64">
        <v>4</v>
      </c>
    </row>
    <row r="65" spans="1:1" x14ac:dyDescent="0.4">
      <c r="A65">
        <v>4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S11" sqref="S1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2" sqref="H2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defaultRowHeight="18.75" x14ac:dyDescent="0.4"/>
  <sheetData>
    <row r="1" spans="1:7" x14ac:dyDescent="0.4">
      <c r="A1">
        <v>2</v>
      </c>
      <c r="C1" s="2">
        <v>1</v>
      </c>
      <c r="D1" s="2">
        <f>ROUND($D$5*E1, 0)</f>
        <v>11</v>
      </c>
      <c r="E1" s="3">
        <v>0.17</v>
      </c>
      <c r="F1">
        <f>COUNTIF($A$1:$A$65, C1)</f>
        <v>2</v>
      </c>
      <c r="G1" s="1">
        <f>COUNTIF($A$1:$A$65, C1)/COUNTA($A$1:$A$65)</f>
        <v>3.0769230769230771E-2</v>
      </c>
    </row>
    <row r="2" spans="1:7" x14ac:dyDescent="0.4">
      <c r="A2">
        <v>2</v>
      </c>
      <c r="C2" s="2">
        <v>2</v>
      </c>
      <c r="D2" s="2">
        <f t="shared" ref="D2:D4" si="0">ROUND($D$5*E2, 0)</f>
        <v>15</v>
      </c>
      <c r="E2" s="3">
        <v>0.23</v>
      </c>
      <c r="F2">
        <f t="shared" ref="F2:F4" si="1">COUNTIF($A$1:$A$65, C2)</f>
        <v>4</v>
      </c>
      <c r="G2" s="1">
        <f t="shared" ref="G2:G4" si="2">COUNTIF($A$1:$A$65, C2)/COUNTA($A$1:$A$65)</f>
        <v>6.1538461538461542E-2</v>
      </c>
    </row>
    <row r="3" spans="1:7" x14ac:dyDescent="0.4">
      <c r="A3">
        <v>2</v>
      </c>
      <c r="C3" s="2">
        <v>3</v>
      </c>
      <c r="D3" s="2">
        <f t="shared" si="0"/>
        <v>21</v>
      </c>
      <c r="E3" s="3">
        <v>0.32</v>
      </c>
      <c r="F3">
        <f t="shared" si="1"/>
        <v>2</v>
      </c>
      <c r="G3" s="1">
        <f t="shared" si="2"/>
        <v>3.0769230769230771E-2</v>
      </c>
    </row>
    <row r="4" spans="1:7" x14ac:dyDescent="0.4">
      <c r="A4">
        <v>4</v>
      </c>
      <c r="C4" s="2">
        <v>4</v>
      </c>
      <c r="D4" s="2">
        <f t="shared" si="0"/>
        <v>18</v>
      </c>
      <c r="E4" s="3">
        <v>0.28000000000000003</v>
      </c>
      <c r="F4">
        <f t="shared" si="1"/>
        <v>1</v>
      </c>
      <c r="G4" s="1">
        <f t="shared" si="2"/>
        <v>1.5384615384615385E-2</v>
      </c>
    </row>
    <row r="5" spans="1:7" x14ac:dyDescent="0.4">
      <c r="A5">
        <v>2</v>
      </c>
      <c r="D5" s="4">
        <v>65</v>
      </c>
    </row>
    <row r="6" spans="1:7" x14ac:dyDescent="0.4">
      <c r="A6">
        <v>1</v>
      </c>
      <c r="D6" s="4">
        <f>SUM(D1:D4)</f>
        <v>65</v>
      </c>
      <c r="E6" s="1">
        <f>SUM(E1:E4)</f>
        <v>1</v>
      </c>
      <c r="F6">
        <f>SUM(F1:F4)</f>
        <v>9</v>
      </c>
      <c r="G6" s="1">
        <f>SUM(G1:G4)</f>
        <v>0.13846153846153847</v>
      </c>
    </row>
    <row r="7" spans="1:7" x14ac:dyDescent="0.4">
      <c r="A7">
        <v>1</v>
      </c>
    </row>
    <row r="8" spans="1:7" x14ac:dyDescent="0.4">
      <c r="A8">
        <v>3</v>
      </c>
    </row>
    <row r="9" spans="1:7" x14ac:dyDescent="0.4">
      <c r="A9">
        <v>3</v>
      </c>
    </row>
    <row r="10" spans="1:7" x14ac:dyDescent="0.4">
      <c r="A10">
        <v>0</v>
      </c>
    </row>
    <row r="11" spans="1:7" x14ac:dyDescent="0.4">
      <c r="A11">
        <v>0</v>
      </c>
    </row>
    <row r="12" spans="1:7" x14ac:dyDescent="0.4">
      <c r="A12">
        <v>0</v>
      </c>
    </row>
    <row r="13" spans="1:7" x14ac:dyDescent="0.4">
      <c r="A13">
        <v>0</v>
      </c>
    </row>
    <row r="14" spans="1:7" x14ac:dyDescent="0.4">
      <c r="A14">
        <v>0</v>
      </c>
    </row>
    <row r="15" spans="1:7" x14ac:dyDescent="0.4">
      <c r="A15">
        <v>0</v>
      </c>
    </row>
    <row r="16" spans="1:7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0</v>
      </c>
    </row>
    <row r="32" spans="1:1" x14ac:dyDescent="0.4">
      <c r="A32">
        <v>0</v>
      </c>
    </row>
    <row r="33" spans="1:1" x14ac:dyDescent="0.4">
      <c r="A33">
        <v>0</v>
      </c>
    </row>
    <row r="34" spans="1:1" x14ac:dyDescent="0.4">
      <c r="A34">
        <v>0</v>
      </c>
    </row>
    <row r="35" spans="1:1" x14ac:dyDescent="0.4">
      <c r="A35">
        <v>0</v>
      </c>
    </row>
    <row r="36" spans="1:1" x14ac:dyDescent="0.4">
      <c r="A36">
        <v>0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7</vt:lpstr>
      <vt:lpstr>10</vt:lpstr>
      <vt:lpstr>49</vt:lpstr>
      <vt:lpstr>56</vt:lpstr>
      <vt:lpstr>57</vt:lpstr>
      <vt:lpstr>Exam 1</vt:lpstr>
      <vt:lpstr>13</vt:lpstr>
      <vt:lpstr>16</vt:lpstr>
      <vt:lpstr>Exam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Hong Thai BP</dc:creator>
  <cp:lastModifiedBy>Duong Hong Thai BP</cp:lastModifiedBy>
  <dcterms:created xsi:type="dcterms:W3CDTF">2025-11-14T04:36:41Z</dcterms:created>
  <dcterms:modified xsi:type="dcterms:W3CDTF">2025-12-16T09:28:34Z</dcterms:modified>
</cp:coreProperties>
</file>